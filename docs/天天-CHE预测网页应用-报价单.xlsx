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6760"/>
  </bookViews>
  <sheets>
    <sheet name="报价明细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<sst xmlns="http://schemas.openxmlformats.org/spreadsheetml/2006/main" count="61" uniqueCount="56">
  <si>
    <t>隐匿性肝性脑病预测网页应用 开发报价单</t>
  </si>
  <si>
    <t>报价公司</t>
  </si>
  <si>
    <t>上海翊瀚昱麟信息科技有限公司</t>
  </si>
  <si>
    <t>联系人:王佳清(13366164349)</t>
  </si>
  <si>
    <t>v1</t>
  </si>
  <si>
    <t>王佳清</t>
  </si>
  <si>
    <t>初版报价</t>
  </si>
  <si>
    <t>2025.12.15</t>
  </si>
  <si>
    <t>功能开发模块</t>
  </si>
  <si>
    <t>序号</t>
  </si>
  <si>
    <t>功能模块</t>
  </si>
  <si>
    <t>功能说明</t>
  </si>
  <si>
    <t>工作量(天)</t>
  </si>
  <si>
    <t>价格(元)</t>
  </si>
  <si>
    <t>用户登录模块</t>
  </si>
  <si>
    <t>简单的用户登录功能(可选)</t>
  </si>
  <si>
    <t>预测模型集成</t>
  </si>
  <si>
    <t>将现有Python代码集成到Web后端</t>
  </si>
  <si>
    <t>数据输入界面</t>
  </si>
  <si>
    <t>用户输入预测指标的表单页面</t>
  </si>
  <si>
    <t>预测结果展示</t>
  </si>
  <si>
    <t>展示CHE发生概率及相关指标</t>
  </si>
  <si>
    <t>数据存储</t>
  </si>
  <si>
    <t>用户输入数据的存储和管理</t>
  </si>
  <si>
    <t>响应式设计</t>
  </si>
  <si>
    <t>支持PC和移动端浏览器访问</t>
  </si>
  <si>
    <t>开发人工费小计</t>
  </si>
  <si>
    <t>第三方服务费用(首年)</t>
  </si>
  <si>
    <t>费用项</t>
  </si>
  <si>
    <t>说明</t>
  </si>
  <si>
    <t>单位</t>
  </si>
  <si>
    <t>云服务器</t>
  </si>
  <si>
    <t>腾讯云/阿里云 2核4G 3M带宽</t>
  </si>
  <si>
    <t>年</t>
  </si>
  <si>
    <t>域名注册</t>
  </si>
  <si>
    <t>域名注册费用(.com/.cn)</t>
  </si>
  <si>
    <t>域名备案</t>
  </si>
  <si>
    <t>ICP备案服务</t>
  </si>
  <si>
    <t>次</t>
  </si>
  <si>
    <t>对象存储</t>
  </si>
  <si>
    <t>数据和文件存储(50GB)</t>
  </si>
  <si>
    <t>SSL证书</t>
  </si>
  <si>
    <t>HTTPS安全证书</t>
  </si>
  <si>
    <t>第三方费用小计</t>
  </si>
  <si>
    <t>项目总价</t>
  </si>
  <si>
    <t>报价说明</t>
  </si>
  <si>
    <t>1. 本报价为隐匿性肝性脑病(CHE)预测网页应用开发费用,基于客户已有的预测代码和数据</t>
  </si>
  <si>
    <t>2. 项目交付内容:完整的Web应用(前端+后端)、数据库设计、服务器部署、域名备案</t>
  </si>
  <si>
    <t>3. 开发周期:14个工作日</t>
  </si>
  <si>
    <t>4. 付款方式:签约支付50%,交付验收后支付剩余50%</t>
  </si>
  <si>
    <t>5. 报价包含:网页前后端开发、预测模型集成、服务器部署、域名备案、1个月技术支持</t>
  </si>
  <si>
    <t>6. 报价不包含:UI/UX专业设计、服务器续费(第二年起)、内容运营、额外功能定制</t>
  </si>
  <si>
    <t>7. 技术栈:Python Flask/Django后端、Vue.js/React前端、MySQL/PostgreSQL数据库</t>
  </si>
  <si>
    <t>8. 服务器配置:2核4G内存、3M带宽,支持50并发用户访问</t>
  </si>
  <si>
    <t>9. 数据安全:提供数据备份方案,符合医疗数据隐私保护要求</t>
  </si>
  <si>
    <t>10. 后期维护:第二年起按合同总额的15%收取年度维护费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</si>
</sst>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4"/>
      <name val="宋体"/>
      <charset val="134"/>
      <scheme val="minor"/>
    </font>
    <font>
      <b/>
      <sz val="11"/>
      <name val="宋体"/>
      <charset val="134"/>
      <scheme val="minor"/>
    </font>
    <font>
      <b/>
      <sz val="12"/>
      <color rgb="FFFFFFFF"/>
      <name val="宋体"/>
      <charset val="134"/>
      <scheme val="minor"/>
    </font>
    <font>
      <b/>
      <sz val="12"/>
      <name val="宋体"/>
      <charset val="134"/>
      <scheme val="minor"/>
    </font>
    <font>
      <b/>
      <sz val="12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D9E1F2"/>
        <bgColor rgb="FFD9E1F2"/>
      </patternFill>
    </fill>
    <fill>
      <patternFill patternType="solid">
        <fgColor rgb="FF70AD47"/>
        <bgColor rgb="FF70AD47"/>
      </patternFill>
    </fill>
    <fill>
      <patternFill patternType="solid">
        <fgColor rgb="FFE2EFDA"/>
        <bgColor rgb="FFE2EFDA"/>
      </patternFill>
    </fill>
    <fill>
      <patternFill patternType="solid">
        <fgColor rgb="FFFFC000"/>
        <bgColor rgb="FFFFC0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7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8" borderId="7" applyNumberFormat="0" applyAlignment="0" applyProtection="0">
      <alignment vertical="center"/>
    </xf>
    <xf numFmtId="0" fontId="15" fillId="9" borderId="8" applyNumberFormat="0" applyAlignment="0" applyProtection="0">
      <alignment vertical="center"/>
    </xf>
    <xf numFmtId="0" fontId="16" fillId="9" borderId="7" applyNumberFormat="0" applyAlignment="0" applyProtection="0">
      <alignment vertical="center"/>
    </xf>
    <xf numFmtId="0" fontId="17" fillId="10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</cellStyleXfs>
  <cellXfs count="2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/>
    <xf numFmtId="0" fontId="3" fillId="2" borderId="0" xfId="0" applyFont="1" applyFill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2" fillId="0" borderId="1" xfId="0" applyFont="1" applyBorder="1"/>
    <xf numFmtId="0" fontId="3" fillId="4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/>
    <xf numFmtId="0" fontId="4" fillId="6" borderId="0" xfId="0" applyFont="1" applyFill="1"/>
    <xf numFmtId="0" fontId="0" fillId="0" borderId="0" xfId="0" applyAlignment="1">
      <alignment vertical="top" wrapText="1"/>
    </xf>
    <xf numFmtId="3" fontId="0" fillId="0" borderId="1" xfId="0" applyNumberFormat="1" applyBorder="1" applyAlignment="1">
      <alignment horizontal="center"/>
    </xf>
    <xf numFmtId="3" fontId="2" fillId="0" borderId="1" xfId="0" applyNumberFormat="1" applyFont="1" applyBorder="1"/>
    <xf numFmtId="3" fontId="0" fillId="0" borderId="0" xfId="0" applyNumberFormat="1" applyAlignment="1">
      <alignment horizontal="center"/>
    </xf>
    <xf numFmtId="3" fontId="2" fillId="0" borderId="0" xfId="0" applyNumberFormat="1" applyFont="1"/>
    <xf numFmtId="3" fontId="5" fillId="0" borderId="0" xfId="0" applyNumberFormat="1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6"/>
  <sheetViews>
    <sheetView tabSelected="1" workbookViewId="0">
      <selection activeCell="G13" sqref="G13"/>
    </sheetView>
  </sheetViews>
  <sheetFormatPr defaultColWidth="9" defaultRowHeight="16.8" outlineLevelCol="4"/>
  <cols>
    <col min="1" max="1" width="8" customWidth="1"/>
    <col min="2" max="2" width="20" customWidth="1"/>
    <col min="3" max="3" width="35" customWidth="1"/>
    <col min="4" max="4" width="15" customWidth="1"/>
    <col min="5" max="5" width="12" customWidth="1"/>
  </cols>
  <sheetData>
    <row r="1" ht="30" customHeight="1" spans="1:1">
      <c r="A1" s="1" t="s">
        <v>0</v>
      </c>
    </row>
    <row r="2" spans="1:4">
      <c r="A2" s="2" t="s">
        <v>1</v>
      </c>
      <c r="B2" t="s">
        <v>2</v>
      </c>
      <c r="D2" t="s">
        <v>3</v>
      </c>
    </row>
    <row r="3" spans="2:5">
      <c r="B3" t="s">
        <v>4</v>
      </c>
      <c r="C3" t="s">
        <v>5</v>
      </c>
      <c r="D3" t="s">
        <v>6</v>
      </c>
      <c r="E3" t="s">
        <v>7</v>
      </c>
    </row>
    <row r="4" ht="5" customHeight="1"/>
    <row r="5" ht="17.6" spans="1:1">
      <c r="A5" s="3" t="s">
        <v>8</v>
      </c>
    </row>
    <row r="6" spans="1:5">
      <c r="A6" s="4" t="s">
        <v>9</v>
      </c>
      <c r="B6" s="4" t="s">
        <v>10</v>
      </c>
      <c r="C6" s="4" t="s">
        <v>11</v>
      </c>
      <c r="D6" s="4" t="s">
        <v>12</v>
      </c>
      <c r="E6" s="4" t="s">
        <v>13</v>
      </c>
    </row>
    <row r="7" spans="1:5">
      <c r="A7" s="5">
        <v>1</v>
      </c>
      <c r="B7" s="6" t="s">
        <v>14</v>
      </c>
      <c r="C7" s="6" t="s">
        <v>15</v>
      </c>
      <c r="D7" s="5">
        <v>0.5</v>
      </c>
      <c r="E7" s="18">
        <v>800</v>
      </c>
    </row>
    <row r="8" spans="1:5">
      <c r="A8" s="5">
        <v>2</v>
      </c>
      <c r="B8" s="6" t="s">
        <v>16</v>
      </c>
      <c r="C8" s="6" t="s">
        <v>17</v>
      </c>
      <c r="D8" s="5">
        <v>1</v>
      </c>
      <c r="E8" s="18">
        <v>1500</v>
      </c>
    </row>
    <row r="9" spans="1:5">
      <c r="A9" s="5">
        <v>3</v>
      </c>
      <c r="B9" s="6" t="s">
        <v>18</v>
      </c>
      <c r="C9" s="6" t="s">
        <v>19</v>
      </c>
      <c r="D9" s="5">
        <v>1</v>
      </c>
      <c r="E9" s="18">
        <v>1500</v>
      </c>
    </row>
    <row r="10" spans="1:5">
      <c r="A10" s="5">
        <v>4</v>
      </c>
      <c r="B10" s="6" t="s">
        <v>20</v>
      </c>
      <c r="C10" s="6" t="s">
        <v>21</v>
      </c>
      <c r="D10" s="5">
        <v>1</v>
      </c>
      <c r="E10" s="18">
        <v>1500</v>
      </c>
    </row>
    <row r="11" spans="1:5">
      <c r="A11" s="5">
        <v>5</v>
      </c>
      <c r="B11" s="6" t="s">
        <v>22</v>
      </c>
      <c r="C11" s="6" t="s">
        <v>23</v>
      </c>
      <c r="D11" s="5">
        <v>0.5</v>
      </c>
      <c r="E11" s="18">
        <v>1000</v>
      </c>
    </row>
    <row r="12" spans="1:5">
      <c r="A12" s="5">
        <v>6</v>
      </c>
      <c r="B12" s="6" t="s">
        <v>24</v>
      </c>
      <c r="C12" s="6" t="s">
        <v>25</v>
      </c>
      <c r="D12" s="5">
        <v>1</v>
      </c>
      <c r="E12" s="18">
        <v>1000</v>
      </c>
    </row>
    <row r="13" spans="1:5">
      <c r="A13" s="7"/>
      <c r="B13" s="8"/>
      <c r="C13" s="9"/>
      <c r="D13" s="10" t="s">
        <v>26</v>
      </c>
      <c r="E13" s="19">
        <f>SUM(E7:E12)</f>
        <v>7300</v>
      </c>
    </row>
    <row r="14" spans="1:5">
      <c r="A14" s="7"/>
      <c r="B14" s="7"/>
      <c r="C14" s="7"/>
      <c r="D14" s="7"/>
      <c r="E14" s="7"/>
    </row>
    <row r="15" ht="17.6" spans="1:5">
      <c r="A15" s="11" t="s">
        <v>27</v>
      </c>
      <c r="B15" s="8"/>
      <c r="C15" s="8"/>
      <c r="D15" s="8"/>
      <c r="E15" s="9"/>
    </row>
    <row r="16" spans="1:5">
      <c r="A16" s="12" t="s">
        <v>9</v>
      </c>
      <c r="B16" s="12" t="s">
        <v>28</v>
      </c>
      <c r="C16" s="12" t="s">
        <v>29</v>
      </c>
      <c r="D16" s="12" t="s">
        <v>30</v>
      </c>
      <c r="E16" s="12" t="s">
        <v>13</v>
      </c>
    </row>
    <row r="17" spans="1:5">
      <c r="A17" s="5">
        <v>1</v>
      </c>
      <c r="B17" s="6" t="s">
        <v>31</v>
      </c>
      <c r="C17" s="6" t="s">
        <v>32</v>
      </c>
      <c r="D17" s="5" t="s">
        <v>33</v>
      </c>
      <c r="E17" s="18">
        <v>1600</v>
      </c>
    </row>
    <row r="18" spans="1:5">
      <c r="A18" s="5">
        <v>2</v>
      </c>
      <c r="B18" s="6" t="s">
        <v>34</v>
      </c>
      <c r="C18" s="6" t="s">
        <v>35</v>
      </c>
      <c r="D18" s="5" t="s">
        <v>33</v>
      </c>
      <c r="E18" s="18">
        <v>50</v>
      </c>
    </row>
    <row r="19" spans="1:5">
      <c r="A19" s="5">
        <v>3</v>
      </c>
      <c r="B19" s="6" t="s">
        <v>36</v>
      </c>
      <c r="C19" s="6" t="s">
        <v>37</v>
      </c>
      <c r="D19" s="5" t="s">
        <v>38</v>
      </c>
      <c r="E19" s="18">
        <v>0</v>
      </c>
    </row>
    <row r="20" spans="1:5">
      <c r="A20" s="5">
        <v>4</v>
      </c>
      <c r="B20" s="6" t="s">
        <v>39</v>
      </c>
      <c r="C20" s="6" t="s">
        <v>40</v>
      </c>
      <c r="D20" s="5" t="s">
        <v>33</v>
      </c>
      <c r="E20" s="18">
        <v>0</v>
      </c>
    </row>
    <row r="21" spans="1:5">
      <c r="A21" s="13">
        <v>5</v>
      </c>
      <c r="B21" s="14" t="s">
        <v>41</v>
      </c>
      <c r="C21" s="14" t="s">
        <v>42</v>
      </c>
      <c r="D21" s="13" t="s">
        <v>33</v>
      </c>
      <c r="E21" s="20">
        <v>0</v>
      </c>
    </row>
    <row r="22" spans="4:5">
      <c r="D22" s="2" t="s">
        <v>43</v>
      </c>
      <c r="E22" s="21">
        <f>SUM(E17:E21)</f>
        <v>1650</v>
      </c>
    </row>
    <row r="24" ht="17.6" spans="4:5">
      <c r="D24" s="15" t="s">
        <v>44</v>
      </c>
      <c r="E24" s="22">
        <f>E13+E22</f>
        <v>8950</v>
      </c>
    </row>
    <row r="26" ht="17.6" spans="1:1">
      <c r="A26" s="16" t="s">
        <v>45</v>
      </c>
    </row>
    <row r="27" ht="30" customHeight="1" spans="1:1">
      <c r="A27" s="17" t="s">
        <v>46</v>
      </c>
    </row>
    <row r="28" ht="30" customHeight="1" spans="1:1">
      <c r="A28" s="17" t="s">
        <v>47</v>
      </c>
    </row>
    <row r="29" ht="30" customHeight="1" spans="1:1">
      <c r="A29" s="17" t="s">
        <v>48</v>
      </c>
    </row>
    <row r="30" ht="30" customHeight="1" spans="1:1">
      <c r="A30" s="17" t="s">
        <v>49</v>
      </c>
    </row>
    <row r="31" ht="30" customHeight="1" spans="1:1">
      <c r="A31" s="17" t="s">
        <v>50</v>
      </c>
    </row>
    <row r="32" ht="30" customHeight="1" spans="1:1">
      <c r="A32" s="17" t="s">
        <v>51</v>
      </c>
    </row>
    <row r="33" ht="30" customHeight="1" spans="1:1">
      <c r="A33" s="17" t="s">
        <v>52</v>
      </c>
    </row>
    <row r="34" ht="30" customHeight="1" spans="1:1">
      <c r="A34" s="17" t="s">
        <v>53</v>
      </c>
    </row>
    <row r="35" ht="30" customHeight="1" spans="1:1">
      <c r="A35" s="17" t="s">
        <v>54</v>
      </c>
    </row>
    <row r="36" ht="30" customHeight="1" spans="1:1">
      <c r="A36" s="17" t="s">
        <v>55</v>
      </c>
    </row>
  </sheetData>
  <mergeCells count="19">
    <mergeCell ref="A1:E1"/>
    <mergeCell ref="B2:C2"/>
    <mergeCell ref="D2:E2"/>
    <mergeCell ref="A5:E5"/>
    <mergeCell ref="A13:C13"/>
    <mergeCell ref="A15:E15"/>
    <mergeCell ref="A22:C22"/>
    <mergeCell ref="A24:C24"/>
    <mergeCell ref="A26:E26"/>
    <mergeCell ref="A27:E27"/>
    <mergeCell ref="A28:E28"/>
    <mergeCell ref="A29:E29"/>
    <mergeCell ref="A30:E30"/>
    <mergeCell ref="A31:E31"/>
    <mergeCell ref="A32:E32"/>
    <mergeCell ref="A33:E33"/>
    <mergeCell ref="A34:E34"/>
    <mergeCell ref="A35:E35"/>
    <mergeCell ref="A36:E36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报价明细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微信用户</cp:lastModifiedBy>
  <dcterms:created xsi:type="dcterms:W3CDTF">2025-12-15T22:57:00Z</dcterms:created>
  <dcterms:modified xsi:type="dcterms:W3CDTF">2025-12-15T15:43:07Z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3914F4133E9635FCF3BB3F69B543F22A_42</vt:lpwstr>
  </property>
  <property fmtid="{D5CDD505-2E9C-101B-9397-08002B2CF9AE}" pid="3" name="KSOProductBuildVer">
    <vt:lpwstr>2052-6.12.1.8902</vt:lpwstr>
  </property>
</Properties>
</file>